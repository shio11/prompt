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設定" sheetId="1" state="visible" r:id="rId1"/>
    <sheet name="サマリー" sheetId="2" state="visible" r:id="rId2"/>
    <sheet name="明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  <font>
      <name val="Arial"/>
      <i val="1"/>
      <color rgb="0080808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3" borderId="0" pivotButton="0" quotePrefix="0" xfId="0"/>
    <xf numFmtId="3" fontId="3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3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template</author>
  </authors>
  <commentList>
    <comment ref="C4" authorId="0" shapeId="0">
      <text>
        <t>TRUE = GUI起動時に読込対象としてチェックON / FALSE = チェックOFF</t>
      </text>
    </comment>
  </commentList>
</comments>
</file>

<file path=xl/comments/comment2.xml><?xml version="1.0" encoding="utf-8"?>
<comments xmlns="http://schemas.openxmlformats.org/spreadsheetml/2006/main">
  <authors>
    <author>template</author>
  </authors>
  <commentList>
    <comment ref="B3" authorId="0" shapeId="0">
      <text>
        <t>Pythonが出力時にセットする欄（記入例）</t>
      </text>
    </comment>
    <comment ref="B4" authorId="0" shapeId="0">
      <text>
        <t>Pythonが出力時にセットする欄（記入例）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20" customWidth="1" min="5" max="5"/>
  </cols>
  <sheetData>
    <row r="1">
      <c r="A1" s="1" t="inlineStr">
        <is>
          <t>対象資料 設定一覧（GUIのチェックボックス初期状態として読み込まれます）</t>
        </is>
      </c>
    </row>
    <row r="3">
      <c r="A3" s="2" t="inlineStr">
        <is>
          <t>資料キー</t>
        </is>
      </c>
      <c r="B3" s="2" t="inlineStr">
        <is>
          <t>資料名（表示用）</t>
        </is>
      </c>
      <c r="C3" s="2" t="inlineStr">
        <is>
          <t>読込対象</t>
        </is>
      </c>
      <c r="D3" s="2" t="inlineStr">
        <is>
          <t>入力元ファイル名</t>
        </is>
      </c>
      <c r="E3" s="2" t="inlineStr">
        <is>
          <t>入力元シート名</t>
        </is>
      </c>
    </row>
    <row r="4">
      <c r="A4" s="3" t="inlineStr">
        <is>
          <t>資料A</t>
        </is>
      </c>
      <c r="B4" s="3" t="inlineStr">
        <is>
          <t>東京支店</t>
        </is>
      </c>
      <c r="C4" s="4" t="b">
        <v>1</v>
      </c>
      <c r="D4" s="3" t="inlineStr">
        <is>
          <t>source_data.xlsx</t>
        </is>
      </c>
      <c r="E4" s="3" t="inlineStr">
        <is>
          <t>資料A_東京支店</t>
        </is>
      </c>
    </row>
    <row r="5">
      <c r="A5" s="3" t="inlineStr">
        <is>
          <t>資料B</t>
        </is>
      </c>
      <c r="B5" s="3" t="inlineStr">
        <is>
          <t>大阪支店</t>
        </is>
      </c>
      <c r="C5" s="4" t="b">
        <v>1</v>
      </c>
      <c r="D5" s="3" t="inlineStr">
        <is>
          <t>source_data.xlsx</t>
        </is>
      </c>
      <c r="E5" s="3" t="inlineStr">
        <is>
          <t>資料B_大阪支店</t>
        </is>
      </c>
    </row>
    <row r="6">
      <c r="A6" s="3" t="inlineStr">
        <is>
          <t>資料C</t>
        </is>
      </c>
      <c r="B6" s="3" t="inlineStr">
        <is>
          <t>名古屋支店</t>
        </is>
      </c>
      <c r="C6" s="4" t="b">
        <v>0</v>
      </c>
      <c r="D6" s="3" t="inlineStr">
        <is>
          <t>source_data.xlsx</t>
        </is>
      </c>
      <c r="E6" s="3" t="inlineStr">
        <is>
          <t>資料C_名古屋支店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</cols>
  <sheetData>
    <row r="1">
      <c r="A1" s="5" t="inlineStr">
        <is>
          <t>部門別経費 月次サマリー</t>
        </is>
      </c>
    </row>
    <row r="3">
      <c r="A3" s="6" t="inlineStr">
        <is>
          <t>作成日</t>
        </is>
      </c>
      <c r="B3" s="7" t="inlineStr">
        <is>
          <t>2026-09-07</t>
        </is>
      </c>
    </row>
    <row r="4">
      <c r="A4" s="6" t="inlineStr">
        <is>
          <t>作成者</t>
        </is>
      </c>
      <c r="B4" s="7" t="inlineStr">
        <is>
          <t>山田太郎</t>
        </is>
      </c>
    </row>
    <row r="6">
      <c r="A6" s="2" t="inlineStr">
        <is>
          <t>資料名</t>
        </is>
      </c>
      <c r="B6" s="2" t="inlineStr">
        <is>
          <t>読込対象</t>
        </is>
      </c>
      <c r="C6" s="2" t="inlineStr">
        <is>
          <t>小計（円）</t>
        </is>
      </c>
    </row>
    <row r="7">
      <c r="A7" s="3">
        <f>'設定'!B4</f>
        <v/>
      </c>
      <c r="B7" s="3">
        <f>'設定'!C4</f>
        <v/>
      </c>
      <c r="C7" s="8">
        <f>SUMIFS(明細!$D:$D,明細!$A:$A,A7)</f>
        <v/>
      </c>
    </row>
    <row r="8">
      <c r="A8" s="3">
        <f>'設定'!B5</f>
        <v/>
      </c>
      <c r="B8" s="3">
        <f>'設定'!C5</f>
        <v/>
      </c>
      <c r="C8" s="8">
        <f>SUMIFS(明細!$D:$D,明細!$A:$A,A8)</f>
        <v/>
      </c>
    </row>
    <row r="9">
      <c r="A9" s="3">
        <f>'設定'!B6</f>
        <v/>
      </c>
      <c r="B9" s="3">
        <f>'設定'!C6</f>
        <v/>
      </c>
      <c r="C9" s="8">
        <f>SUMIFS(明細!$D:$D,明細!$A:$A,A9)</f>
        <v/>
      </c>
    </row>
    <row r="10">
      <c r="A10" s="9" t="n"/>
      <c r="B10" s="10" t="inlineStr">
        <is>
          <t>総合計</t>
        </is>
      </c>
      <c r="C10" s="11">
        <f>SUM(C7:C9)</f>
        <v/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</cols>
  <sheetData>
    <row r="1">
      <c r="A1" s="1" t="inlineStr">
        <is>
          <t>経費明細（GUIから読み込んだ対象資料の明細がここに転記されます）</t>
        </is>
      </c>
    </row>
    <row r="3">
      <c r="A3" s="2" t="inlineStr">
        <is>
          <t>資料名</t>
        </is>
      </c>
      <c r="B3" s="2" t="inlineStr">
        <is>
          <t>日付</t>
        </is>
      </c>
      <c r="C3" s="2" t="inlineStr">
        <is>
          <t>費目</t>
        </is>
      </c>
      <c r="D3" s="2" t="inlineStr">
        <is>
          <t>金額</t>
        </is>
      </c>
    </row>
    <row r="4">
      <c r="A4" t="inlineStr">
        <is>
          <t>東京支店</t>
        </is>
      </c>
      <c r="B4" t="inlineStr">
        <is>
          <t>2026-08-03</t>
        </is>
      </c>
      <c r="C4" t="inlineStr">
        <is>
          <t>交通費</t>
        </is>
      </c>
      <c r="D4" t="n">
        <v>12400</v>
      </c>
    </row>
    <row r="5">
      <c r="A5" t="inlineStr">
        <is>
          <t>東京支店</t>
        </is>
      </c>
      <c r="B5" t="inlineStr">
        <is>
          <t>2026-08-10</t>
        </is>
      </c>
      <c r="C5" t="inlineStr">
        <is>
          <t>消耗品費</t>
        </is>
      </c>
      <c r="D5" t="n">
        <v>8600</v>
      </c>
    </row>
    <row r="6">
      <c r="A6" t="inlineStr">
        <is>
          <t>東京支店</t>
        </is>
      </c>
      <c r="B6" t="inlineStr">
        <is>
          <t>2026-08-18</t>
        </is>
      </c>
      <c r="C6" t="inlineStr">
        <is>
          <t>会議費</t>
        </is>
      </c>
      <c r="D6" t="n">
        <v>15200</v>
      </c>
    </row>
    <row r="7">
      <c r="A7" t="inlineStr">
        <is>
          <t>東京支店</t>
        </is>
      </c>
      <c r="B7" t="inlineStr">
        <is>
          <t>2026-08-25</t>
        </is>
      </c>
      <c r="C7" t="inlineStr">
        <is>
          <t>通信費</t>
        </is>
      </c>
      <c r="D7" t="n">
        <v>5400</v>
      </c>
    </row>
    <row r="8">
      <c r="A8" t="inlineStr">
        <is>
          <t>大阪支店</t>
        </is>
      </c>
      <c r="B8" t="inlineStr">
        <is>
          <t>2026-08-05</t>
        </is>
      </c>
      <c r="C8" t="inlineStr">
        <is>
          <t>交通費</t>
        </is>
      </c>
      <c r="D8" t="n">
        <v>9800</v>
      </c>
    </row>
    <row r="9">
      <c r="A9" t="inlineStr">
        <is>
          <t>大阪支店</t>
        </is>
      </c>
      <c r="B9" t="inlineStr">
        <is>
          <t>2026-08-12</t>
        </is>
      </c>
      <c r="C9" t="inlineStr">
        <is>
          <t>接待交際費</t>
        </is>
      </c>
      <c r="D9" t="n">
        <v>22000</v>
      </c>
    </row>
    <row r="10">
      <c r="A10" t="inlineStr">
        <is>
          <t>大阪支店</t>
        </is>
      </c>
      <c r="B10" t="inlineStr">
        <is>
          <t>2026-08-21</t>
        </is>
      </c>
      <c r="C10" t="inlineStr">
        <is>
          <t>消耗品費</t>
        </is>
      </c>
      <c r="D10" t="n">
        <v>6300</v>
      </c>
    </row>
    <row r="11">
      <c r="A11" t="inlineStr">
        <is>
          <t>名古屋支店</t>
        </is>
      </c>
      <c r="B11" t="inlineStr">
        <is>
          <t>2026-08-07</t>
        </is>
      </c>
      <c r="C11" t="inlineStr">
        <is>
          <t>通信費</t>
        </is>
      </c>
      <c r="D11" t="n">
        <v>4800</v>
      </c>
    </row>
    <row r="12">
      <c r="A12" t="inlineStr">
        <is>
          <t>名古屋支店</t>
        </is>
      </c>
      <c r="B12" t="inlineStr">
        <is>
          <t>2026-08-14</t>
        </is>
      </c>
      <c r="C12" t="inlineStr">
        <is>
          <t>交通費</t>
        </is>
      </c>
      <c r="D12" t="n">
        <v>11200</v>
      </c>
    </row>
    <row r="13">
      <c r="A13" t="inlineStr">
        <is>
          <t>名古屋支店</t>
        </is>
      </c>
      <c r="B13" t="inlineStr">
        <is>
          <t>2026-08-20</t>
        </is>
      </c>
      <c r="C13" t="inlineStr">
        <is>
          <t>会議費</t>
        </is>
      </c>
      <c r="D13" t="n">
        <v>9600</v>
      </c>
    </row>
    <row r="14">
      <c r="A14" t="inlineStr">
        <is>
          <t>名古屋支店</t>
        </is>
      </c>
      <c r="B14" t="inlineStr">
        <is>
          <t>2026-08-28</t>
        </is>
      </c>
      <c r="C14" t="inlineStr">
        <is>
          <t>消耗品費</t>
        </is>
      </c>
      <c r="D14" t="n">
        <v>7100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2026-09-06T17:01:57Z</dcterms:created>
  <dcterms:modified xsi:type="dcterms:W3CDTF">2026-09-06T17:47:06Z</dcterms:modified>
</cp:coreProperties>
</file>